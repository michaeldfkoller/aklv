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oller/Documents/Vorles/AKLV/aklv/aklv/Examples/"/>
    </mc:Choice>
  </mc:AlternateContent>
  <xr:revisionPtr revIDLastSave="0" documentId="8_{BDB6DD1F-C99D-FE4B-BC1A-68998E1A74D2}" xr6:coauthVersionLast="47" xr6:coauthVersionMax="47" xr10:uidLastSave="{00000000-0000-0000-0000-000000000000}"/>
  <bookViews>
    <workbookView xWindow="1080" yWindow="1160" windowWidth="27640" windowHeight="16660" xr2:uid="{65271861-AF28-4743-A7E6-0E45CBB01C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M8" i="1"/>
  <c r="K8" i="1"/>
  <c r="H10" i="1"/>
  <c r="H11" i="1" s="1"/>
  <c r="H12" i="1" s="1"/>
  <c r="H13" i="1" s="1"/>
  <c r="H14" i="1" s="1"/>
  <c r="H9" i="1"/>
  <c r="H8" i="1"/>
  <c r="D12" i="1"/>
  <c r="D11" i="1" s="1"/>
  <c r="D10" i="1" s="1"/>
  <c r="D9" i="1" s="1"/>
  <c r="D8" i="1" s="1"/>
  <c r="D7" i="1" s="1"/>
  <c r="D6" i="1" s="1"/>
  <c r="D5" i="1" s="1"/>
  <c r="D4" i="1" s="1"/>
  <c r="D13" i="1"/>
  <c r="A14" i="1"/>
  <c r="A13" i="1"/>
  <c r="B14" i="1"/>
  <c r="B6" i="1"/>
  <c r="B7" i="1" s="1"/>
  <c r="B8" i="1" s="1"/>
  <c r="B9" i="1" s="1"/>
  <c r="B10" i="1" s="1"/>
  <c r="B11" i="1" s="1"/>
  <c r="B12" i="1" s="1"/>
  <c r="B13" i="1" s="1"/>
  <c r="B5" i="1"/>
  <c r="A6" i="1"/>
  <c r="A7" i="1" s="1"/>
  <c r="A8" i="1" s="1"/>
  <c r="A9" i="1" s="1"/>
  <c r="A10" i="1" s="1"/>
  <c r="A11" i="1" s="1"/>
  <c r="A12" i="1" s="1"/>
  <c r="A5" i="1"/>
</calcChain>
</file>

<file path=xl/sharedStrings.xml><?xml version="1.0" encoding="utf-8"?>
<sst xmlns="http://schemas.openxmlformats.org/spreadsheetml/2006/main" count="10" uniqueCount="10">
  <si>
    <t>Year</t>
  </si>
  <si>
    <t>i=0.25%</t>
  </si>
  <si>
    <t>You would get 100000 + bonus</t>
  </si>
  <si>
    <t xml:space="preserve">I rate </t>
  </si>
  <si>
    <t>Investment</t>
  </si>
  <si>
    <t>Lapse penealty of 2%</t>
  </si>
  <si>
    <t>Switch gives PH c22%</t>
  </si>
  <si>
    <t>isurer'sview</t>
  </si>
  <si>
    <t xml:space="preserve">Surrender </t>
  </si>
  <si>
    <t>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</si>
</sst>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000000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9" fontId="0" fillId="0" borderId="0" xfId="0" applyNumberFormat="1"/>
    <xf numFmtId="0" fontId="0" fillId="2" borderId="0" xfId="0" applyFill="1"/>
    <xf numFmtId="43" fontId="0" fillId="2" borderId="0" xfId="1" applyFont="1" applyFill="1"/>
    <xf numFmtId="9" fontId="0" fillId="2" borderId="0" xfId="0" applyNumberFormat="1" applyFill="1"/>
    <xf numFmtId="43" fontId="0" fillId="2" borderId="0" xfId="0" applyNumberFormat="1" applyFill="1"/>
    <xf numFmtId="43" fontId="0" fillId="0" borderId="0" xfId="0" applyNumberFormat="1"/>
    <xf numFmtId="43" fontId="0" fillId="3" borderId="0" xfId="1" applyFont="1" applyFill="1"/>
    <xf numFmtId="43" fontId="0" fillId="3" borderId="0" xfId="0" applyNumberFormat="1" applyFill="1"/>
    <xf numFmtId="43" fontId="2" fillId="4" borderId="0" xfId="0" applyNumberFormat="1" applyFont="1" applyFill="1"/>
    <xf numFmtId="9" fontId="0" fillId="4" borderId="0" xfId="2" applyFont="1" applyFill="1"/>
    <xf numFmtId="164" fontId="0" fillId="0" borderId="0" xfId="0" applyNumberFormat="1"/>
    <xf numFmtId="0" fontId="0" fillId="5" borderId="0" xfId="0" applyFill="1"/>
    <xf numFmtId="43" fontId="0" fillId="5" borderId="0" xfId="0" applyNumberForma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7914-FE04-4B40-A651-2DE734DDC554}">
  <dimension ref="A2:O20"/>
  <sheetViews>
    <sheetView tabSelected="1" workbookViewId="0">
      <selection activeCell="E8" sqref="E8"/>
    </sheetView>
  </sheetViews>
  <sheetFormatPr baseColWidth="10" defaultRowHeight="16" x14ac:dyDescent="0.2"/>
  <cols>
    <col min="3" max="3" width="5" customWidth="1"/>
    <col min="4" max="4" width="11.5" bestFit="1" customWidth="1"/>
    <col min="5" max="5" width="12.83203125" customWidth="1"/>
    <col min="8" max="8" width="11.5" bestFit="1" customWidth="1"/>
    <col min="10" max="10" width="3.5" customWidth="1"/>
    <col min="11" max="11" width="11.1640625" bestFit="1" customWidth="1"/>
    <col min="12" max="12" width="3.1640625" customWidth="1"/>
    <col min="15" max="15" width="21" bestFit="1" customWidth="1"/>
  </cols>
  <sheetData>
    <row r="2" spans="1:15" x14ac:dyDescent="0.2">
      <c r="D2" t="s">
        <v>1</v>
      </c>
      <c r="E2" s="2">
        <v>0.04</v>
      </c>
      <c r="F2" t="s">
        <v>4</v>
      </c>
      <c r="H2" t="s">
        <v>5</v>
      </c>
      <c r="K2" t="s">
        <v>7</v>
      </c>
    </row>
    <row r="3" spans="1:15" x14ac:dyDescent="0.2">
      <c r="A3" t="s">
        <v>0</v>
      </c>
      <c r="E3" s="13"/>
    </row>
    <row r="4" spans="1:15" x14ac:dyDescent="0.2">
      <c r="A4">
        <v>2019</v>
      </c>
      <c r="B4">
        <v>0</v>
      </c>
      <c r="D4" s="1">
        <f t="shared" ref="D4:D12" si="0">D5/1.0025</f>
        <v>97534.034023539512</v>
      </c>
      <c r="E4" s="13"/>
      <c r="F4">
        <v>0</v>
      </c>
      <c r="K4" t="s">
        <v>8</v>
      </c>
    </row>
    <row r="5" spans="1:15" x14ac:dyDescent="0.2">
      <c r="A5">
        <f>A4+1</f>
        <v>2020</v>
      </c>
      <c r="B5">
        <f>B4+1</f>
        <v>1</v>
      </c>
      <c r="D5" s="1">
        <f t="shared" si="0"/>
        <v>97777.869108598359</v>
      </c>
      <c r="E5" s="13"/>
      <c r="F5">
        <v>0</v>
      </c>
      <c r="K5" t="s">
        <v>9</v>
      </c>
    </row>
    <row r="6" spans="1:15" x14ac:dyDescent="0.2">
      <c r="A6">
        <f t="shared" ref="A6:A14" si="1">A5+1</f>
        <v>2021</v>
      </c>
      <c r="B6">
        <f t="shared" ref="B6:B13" si="2">B5+1</f>
        <v>2</v>
      </c>
      <c r="D6" s="1">
        <f t="shared" si="0"/>
        <v>98022.313781369856</v>
      </c>
      <c r="E6" s="13"/>
      <c r="F6">
        <v>0</v>
      </c>
    </row>
    <row r="7" spans="1:15" x14ac:dyDescent="0.2">
      <c r="A7">
        <f t="shared" si="1"/>
        <v>2022</v>
      </c>
      <c r="B7">
        <f t="shared" si="2"/>
        <v>3</v>
      </c>
      <c r="D7" s="1">
        <f t="shared" si="0"/>
        <v>98267.369565823275</v>
      </c>
      <c r="E7" s="13"/>
      <c r="F7">
        <v>0</v>
      </c>
    </row>
    <row r="8" spans="1:15" x14ac:dyDescent="0.2">
      <c r="A8" s="3">
        <f t="shared" si="1"/>
        <v>2023</v>
      </c>
      <c r="B8" s="3">
        <f t="shared" si="2"/>
        <v>4</v>
      </c>
      <c r="C8" s="3"/>
      <c r="D8" s="4">
        <f t="shared" si="0"/>
        <v>98513.03798973783</v>
      </c>
      <c r="E8" s="14">
        <f>E9/1.04</f>
        <v>79031.452573014583</v>
      </c>
      <c r="F8" s="3">
        <v>0</v>
      </c>
      <c r="G8" s="3"/>
      <c r="H8" s="6">
        <f>D8*0.98</f>
        <v>96542.777229943065</v>
      </c>
      <c r="I8" s="3"/>
      <c r="K8" s="10">
        <f>-H8+D14*(1.04)^(-6)</f>
        <v>-17511.324656928497</v>
      </c>
      <c r="M8" s="11">
        <f>K8/D8</f>
        <v>-0.17775641696028766</v>
      </c>
      <c r="O8" s="12"/>
    </row>
    <row r="9" spans="1:15" x14ac:dyDescent="0.2">
      <c r="A9">
        <f t="shared" si="1"/>
        <v>2024</v>
      </c>
      <c r="B9">
        <f t="shared" si="2"/>
        <v>5</v>
      </c>
      <c r="D9" s="1">
        <f t="shared" si="0"/>
        <v>98759.320584712172</v>
      </c>
      <c r="E9" s="14">
        <f>E10/1.04</f>
        <v>82192.710675935174</v>
      </c>
      <c r="F9">
        <v>0</v>
      </c>
      <c r="H9" s="7">
        <f>1.04*H8</f>
        <v>100404.48831914079</v>
      </c>
    </row>
    <row r="10" spans="1:15" x14ac:dyDescent="0.2">
      <c r="A10">
        <f t="shared" si="1"/>
        <v>2025</v>
      </c>
      <c r="B10">
        <f t="shared" si="2"/>
        <v>6</v>
      </c>
      <c r="D10" s="1">
        <f t="shared" si="0"/>
        <v>99006.218886173941</v>
      </c>
      <c r="E10" s="14">
        <f>E11/1.04</f>
        <v>85480.419102972577</v>
      </c>
      <c r="F10">
        <v>0</v>
      </c>
      <c r="H10" s="7">
        <f t="shared" ref="H10:H14" si="3">1.04*H9</f>
        <v>104420.66785190642</v>
      </c>
    </row>
    <row r="11" spans="1:15" x14ac:dyDescent="0.2">
      <c r="A11">
        <f t="shared" si="1"/>
        <v>2026</v>
      </c>
      <c r="B11">
        <f t="shared" si="2"/>
        <v>7</v>
      </c>
      <c r="D11" s="1">
        <f t="shared" si="0"/>
        <v>99253.734433389371</v>
      </c>
      <c r="E11" s="14">
        <f>E12/1.04</f>
        <v>88899.635867091478</v>
      </c>
      <c r="F11">
        <v>0</v>
      </c>
      <c r="H11" s="7">
        <f t="shared" si="3"/>
        <v>108597.49456598268</v>
      </c>
    </row>
    <row r="12" spans="1:15" x14ac:dyDescent="0.2">
      <c r="A12">
        <f t="shared" si="1"/>
        <v>2027</v>
      </c>
      <c r="B12">
        <f t="shared" si="2"/>
        <v>8</v>
      </c>
      <c r="D12" s="1">
        <f t="shared" si="0"/>
        <v>99501.868769472843</v>
      </c>
      <c r="E12" s="14">
        <f>E13/1.04</f>
        <v>92455.621301775143</v>
      </c>
      <c r="F12">
        <v>0</v>
      </c>
      <c r="H12" s="7">
        <f t="shared" si="3"/>
        <v>112941.39434862199</v>
      </c>
    </row>
    <row r="13" spans="1:15" x14ac:dyDescent="0.2">
      <c r="A13">
        <f t="shared" si="1"/>
        <v>2028</v>
      </c>
      <c r="B13">
        <f t="shared" si="2"/>
        <v>9</v>
      </c>
      <c r="D13" s="1">
        <f>D14/1.0025</f>
        <v>99750.623441396514</v>
      </c>
      <c r="E13" s="14">
        <f>E14/1.04</f>
        <v>96153.846153846156</v>
      </c>
      <c r="F13">
        <v>0</v>
      </c>
      <c r="H13" s="7">
        <f t="shared" si="3"/>
        <v>117459.05012256688</v>
      </c>
    </row>
    <row r="14" spans="1:15" x14ac:dyDescent="0.2">
      <c r="A14">
        <f t="shared" si="1"/>
        <v>2029</v>
      </c>
      <c r="B14">
        <f>B13+1</f>
        <v>10</v>
      </c>
      <c r="D14" s="8">
        <v>100000</v>
      </c>
      <c r="E14" s="8">
        <v>100000</v>
      </c>
      <c r="F14">
        <v>100000</v>
      </c>
      <c r="H14" s="9">
        <f t="shared" si="3"/>
        <v>122157.41212746956</v>
      </c>
    </row>
    <row r="17" spans="1:8" x14ac:dyDescent="0.2">
      <c r="A17" t="s">
        <v>2</v>
      </c>
    </row>
    <row r="19" spans="1:8" x14ac:dyDescent="0.2">
      <c r="B19" t="s">
        <v>3</v>
      </c>
      <c r="D19">
        <v>2019</v>
      </c>
      <c r="F19" s="2">
        <v>0</v>
      </c>
    </row>
    <row r="20" spans="1:8" x14ac:dyDescent="0.2">
      <c r="D20">
        <v>2023</v>
      </c>
      <c r="F20" s="5">
        <v>0.04</v>
      </c>
      <c r="H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Koller</dc:creator>
  <cp:lastModifiedBy>Michael Koller</cp:lastModifiedBy>
  <dcterms:created xsi:type="dcterms:W3CDTF">2026-05-15T15:10:07Z</dcterms:created>
  <dcterms:modified xsi:type="dcterms:W3CDTF">2026-05-15T15:21:49Z</dcterms:modified>
</cp:coreProperties>
</file>